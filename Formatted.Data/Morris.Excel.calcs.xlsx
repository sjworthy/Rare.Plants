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ldenarb-my.sharepoint.com/personal/sworthy_holdenfg_org/Documents/Documents/GitHub/Rare.Plants/Formatted.Data/"/>
    </mc:Choice>
  </mc:AlternateContent>
  <xr:revisionPtr revIDLastSave="18" documentId="8_{5D3F3D09-FDAA-4590-BB13-538BBA5ADC25}" xr6:coauthVersionLast="47" xr6:coauthVersionMax="47" xr10:uidLastSave="{2E2D3FFD-532C-4E8D-A8AA-A306590F1FB2}"/>
  <bookViews>
    <workbookView xWindow="720" yWindow="1512" windowWidth="11100" windowHeight="10176" xr2:uid="{E75AB031-74D7-4196-951E-C11CFB8030DF}"/>
  </bookViews>
  <sheets>
    <sheet name="ARHI.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6" i="1"/>
  <c r="E15" i="1"/>
  <c r="E14" i="1"/>
  <c r="E13" i="1"/>
  <c r="E12" i="1"/>
</calcChain>
</file>

<file path=xl/sharedStrings.xml><?xml version="1.0" encoding="utf-8"?>
<sst xmlns="http://schemas.openxmlformats.org/spreadsheetml/2006/main" count="4" uniqueCount="4">
  <si>
    <t>LRR</t>
  </si>
  <si>
    <t>Year.transform</t>
  </si>
  <si>
    <t>Corrected.LRR</t>
  </si>
  <si>
    <t>Stems.year.T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</si>
</sst>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A3DB-6D1D-4907-A07C-D7E09EE2DA9B}">
  <dimension ref="A1:E17"/>
  <sheetViews>
    <sheetView tabSelected="1" workbookViewId="0">
      <selection activeCell="G8" sqref="G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>
        <v>0.45506204924753701</v>
      </c>
      <c r="B2">
        <v>1</v>
      </c>
      <c r="C2">
        <v>0.45506204924753701</v>
      </c>
      <c r="D2">
        <v>59</v>
      </c>
    </row>
    <row r="3" spans="1:5" x14ac:dyDescent="0.3">
      <c r="A3">
        <v>1.0695289116748E-2</v>
      </c>
      <c r="B3">
        <v>1</v>
      </c>
      <c r="C3">
        <v>1.0695289116748E-2</v>
      </c>
      <c r="D3">
        <v>93</v>
      </c>
      <c r="E3">
        <v>29</v>
      </c>
    </row>
    <row r="4" spans="1:5" x14ac:dyDescent="0.3">
      <c r="A4">
        <v>0.28501895503229702</v>
      </c>
      <c r="B4">
        <v>1</v>
      </c>
      <c r="C4">
        <v>0.28501895503229702</v>
      </c>
      <c r="D4">
        <v>94</v>
      </c>
      <c r="E4">
        <v>15</v>
      </c>
    </row>
    <row r="5" spans="1:5" x14ac:dyDescent="0.3">
      <c r="A5">
        <v>0.113328685307003</v>
      </c>
      <c r="B5">
        <v>1</v>
      </c>
      <c r="C5">
        <v>0.113328685307003</v>
      </c>
      <c r="D5">
        <v>125</v>
      </c>
      <c r="E5" s="1">
        <v>-2.0035509999999999E-2</v>
      </c>
    </row>
    <row r="6" spans="1:5" x14ac:dyDescent="0.3">
      <c r="A6">
        <v>0.49207958094493498</v>
      </c>
      <c r="B6">
        <v>1.4142135623731</v>
      </c>
      <c r="C6">
        <v>0.34795280856959798</v>
      </c>
      <c r="D6">
        <v>140</v>
      </c>
    </row>
    <row r="7" spans="1:5" x14ac:dyDescent="0.3">
      <c r="A7">
        <v>0.107541541604187</v>
      </c>
      <c r="B7">
        <v>1</v>
      </c>
      <c r="C7">
        <v>0.107541541604187</v>
      </c>
      <c r="D7">
        <v>229</v>
      </c>
    </row>
    <row r="8" spans="1:5" x14ac:dyDescent="0.3">
      <c r="A8">
        <v>-0.26314888592790903</v>
      </c>
      <c r="B8">
        <v>1</v>
      </c>
      <c r="C8">
        <v>-0.26314888592790903</v>
      </c>
      <c r="D8">
        <v>255</v>
      </c>
      <c r="E8" s="1">
        <v>0.1217645</v>
      </c>
    </row>
    <row r="9" spans="1:5" x14ac:dyDescent="0.3">
      <c r="A9">
        <v>-0.26083482241559303</v>
      </c>
      <c r="B9">
        <v>1</v>
      </c>
      <c r="C9">
        <v>-0.26083482241559303</v>
      </c>
      <c r="D9">
        <v>196</v>
      </c>
    </row>
    <row r="10" spans="1:5" x14ac:dyDescent="0.3">
      <c r="A10">
        <v>-0.17309275035633301</v>
      </c>
      <c r="B10">
        <v>1</v>
      </c>
      <c r="C10">
        <v>-0.17309275035633301</v>
      </c>
      <c r="D10">
        <v>151</v>
      </c>
    </row>
    <row r="11" spans="1:5" x14ac:dyDescent="0.3">
      <c r="A11">
        <v>-0.30089230418858698</v>
      </c>
      <c r="B11">
        <v>1</v>
      </c>
      <c r="C11">
        <v>-0.30089230418858698</v>
      </c>
      <c r="D11">
        <v>127</v>
      </c>
    </row>
    <row r="12" spans="1:5" x14ac:dyDescent="0.3">
      <c r="A12">
        <v>-0.18658595558041199</v>
      </c>
      <c r="B12">
        <v>1</v>
      </c>
      <c r="C12">
        <v>-0.18658595558041199</v>
      </c>
      <c r="D12">
        <v>94</v>
      </c>
      <c r="E12">
        <f>E5+E8/2</f>
        <v>4.0846739999999999E-2</v>
      </c>
    </row>
    <row r="13" spans="1:5" x14ac:dyDescent="0.3">
      <c r="A13">
        <v>-0.38641691313747001</v>
      </c>
      <c r="B13">
        <v>1</v>
      </c>
      <c r="C13">
        <v>-0.38641691313747001</v>
      </c>
      <c r="D13">
        <v>78</v>
      </c>
      <c r="E13">
        <f>E12+NORMSINV(0.025)*SQRT(E8*((1/E3)+(E8/(2*(E4-1)))))</f>
        <v>-9.392550653753437E-2</v>
      </c>
    </row>
    <row r="14" spans="1:5" x14ac:dyDescent="0.3">
      <c r="A14">
        <v>-1.2622417124499099</v>
      </c>
      <c r="B14">
        <v>1.7320508075688801</v>
      </c>
      <c r="C14">
        <v>-0.72875559246533095</v>
      </c>
      <c r="D14">
        <v>53</v>
      </c>
      <c r="E14">
        <f>E12-NORMSINV(0.025)*SQRT(E8*((1/E3)+(E8/(2*(E4-1)))))</f>
        <v>0.17561898653753436</v>
      </c>
    </row>
    <row r="15" spans="1:5" x14ac:dyDescent="0.3">
      <c r="A15">
        <v>0.23638877806423</v>
      </c>
      <c r="B15">
        <v>3.4641016151377499</v>
      </c>
      <c r="C15">
        <v>6.8239562324395001E-2</v>
      </c>
      <c r="D15">
        <v>15</v>
      </c>
      <c r="E15">
        <f>EXP(E12)</f>
        <v>1.0416924435269967</v>
      </c>
    </row>
    <row r="16" spans="1:5" x14ac:dyDescent="0.3">
      <c r="A16">
        <v>0.55206858230003997</v>
      </c>
      <c r="B16">
        <v>1</v>
      </c>
      <c r="C16">
        <v>0.55206858230003997</v>
      </c>
      <c r="D16">
        <v>19</v>
      </c>
      <c r="E16">
        <f>EXP(E13)</f>
        <v>0.91035057488131688</v>
      </c>
    </row>
    <row r="17" spans="5:5" x14ac:dyDescent="0.3">
      <c r="E17">
        <f>EXP(E14)</f>
        <v>1.1919838102400424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Worthy</dc:creator>
  <cp:lastModifiedBy>Samantha Worthy</cp:lastModifiedBy>
  <dcterms:created xsi:type="dcterms:W3CDTF">2025-10-23T14:48:40Z</dcterms:created>
  <dcterms:modified xsi:type="dcterms:W3CDTF">2025-10-23T15:10:55Z</dcterms:modified>
</cp:coreProperties>
</file>