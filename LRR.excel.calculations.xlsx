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ldenarb-my.sharepoint.com/personal/sworthy_holdenfg_org/Documents/Documents/GitHub/Rare.Plants/"/>
    </mc:Choice>
  </mc:AlternateContent>
  <xr:revisionPtr revIDLastSave="0" documentId="8_{5F50DE1E-A021-40D4-BB11-9946A01DAE3C}" xr6:coauthVersionLast="47" xr6:coauthVersionMax="47" xr10:uidLastSave="{00000000-0000-0000-0000-000000000000}"/>
  <bookViews>
    <workbookView xWindow="0" yWindow="360" windowWidth="17808" windowHeight="10896" firstSheet="2" activeTab="3" xr2:uid="{18934303-5135-41F2-A560-CDAAB3464086}"/>
  </bookViews>
  <sheets>
    <sheet name="ARHI" sheetId="1" r:id="rId1"/>
    <sheet name="COCA" sheetId="3" r:id="rId2"/>
    <sheet name="CYRE" sheetId="2" r:id="rId3"/>
    <sheet name="SPLU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7" i="3" l="1"/>
  <c r="E17" i="3"/>
  <c r="E17" i="4"/>
  <c r="E16" i="4"/>
  <c r="E15" i="4"/>
  <c r="E14" i="4"/>
  <c r="E13" i="4"/>
  <c r="E12" i="4"/>
  <c r="F16" i="3"/>
  <c r="F15" i="3"/>
  <c r="F14" i="3"/>
  <c r="F13" i="3"/>
  <c r="E13" i="3"/>
  <c r="E14" i="3"/>
  <c r="E15" i="3"/>
  <c r="E16" i="3"/>
  <c r="F12" i="3"/>
  <c r="E3" i="4"/>
  <c r="E3" i="2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D20" i="2"/>
  <c r="D21" i="2"/>
  <c r="D22" i="2"/>
  <c r="D23" i="2"/>
  <c r="D24" i="2"/>
  <c r="D25" i="2"/>
  <c r="D26" i="2"/>
  <c r="D27" i="2"/>
  <c r="B20" i="2"/>
  <c r="B21" i="2"/>
  <c r="B22" i="2"/>
  <c r="B23" i="2"/>
  <c r="B24" i="2"/>
  <c r="B25" i="2"/>
  <c r="B26" i="2"/>
  <c r="B27" i="2"/>
  <c r="B14" i="3"/>
  <c r="D14" i="3"/>
  <c r="E3" i="3"/>
  <c r="B3" i="4"/>
  <c r="D3" i="4" s="1"/>
  <c r="B19" i="2"/>
  <c r="D19" i="2" s="1"/>
  <c r="B18" i="2"/>
  <c r="D18" i="2" s="1"/>
  <c r="B17" i="2"/>
  <c r="D17" i="2" s="1"/>
  <c r="B16" i="2"/>
  <c r="D16" i="2" s="1"/>
  <c r="E15" i="2"/>
  <c r="B15" i="2"/>
  <c r="D15" i="2" s="1"/>
  <c r="B14" i="2"/>
  <c r="D14" i="2" s="1"/>
  <c r="B13" i="2"/>
  <c r="D13" i="2" s="1"/>
  <c r="E12" i="2"/>
  <c r="E13" i="2" s="1"/>
  <c r="E16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3" i="2" s="1"/>
  <c r="B16" i="3"/>
  <c r="D16" i="3" s="1"/>
  <c r="B15" i="3"/>
  <c r="D15" i="3" s="1"/>
  <c r="B13" i="3"/>
  <c r="D13" i="3" s="1"/>
  <c r="E12" i="3"/>
  <c r="B12" i="3"/>
  <c r="D12" i="3" s="1"/>
  <c r="B11" i="3"/>
  <c r="D11" i="3" s="1"/>
  <c r="B10" i="3"/>
  <c r="D10" i="3" s="1"/>
  <c r="B9" i="3"/>
  <c r="D9" i="3" s="1"/>
  <c r="B8" i="3"/>
  <c r="D8" i="3" s="1"/>
  <c r="B7" i="3"/>
  <c r="D7" i="3" s="1"/>
  <c r="B6" i="3"/>
  <c r="D6" i="3" s="1"/>
  <c r="B5" i="3"/>
  <c r="D5" i="3" s="1"/>
  <c r="B4" i="3"/>
  <c r="D4" i="3" s="1"/>
  <c r="B3" i="3"/>
  <c r="D3" i="3" s="1"/>
  <c r="E17" i="1"/>
  <c r="E16" i="1"/>
  <c r="E15" i="1"/>
  <c r="E14" i="1"/>
  <c r="E13" i="1"/>
  <c r="E12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3" i="1"/>
  <c r="E14" i="2" l="1"/>
  <c r="E17" i="2" s="1"/>
</calcChain>
</file>

<file path=xl/sharedStrings.xml><?xml version="1.0" encoding="utf-8"?>
<sst xmlns="http://schemas.openxmlformats.org/spreadsheetml/2006/main" count="17" uniqueCount="5">
  <si>
    <t>Year</t>
  </si>
  <si>
    <t>Count</t>
  </si>
  <si>
    <t>Correct.Year</t>
  </si>
  <si>
    <t>y.corrected</t>
  </si>
  <si>
    <t>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</si>
</sst>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A4AC-2F49-4CF8-BCFF-A1D706881710}">
  <dimension ref="A1:E19"/>
  <sheetViews>
    <sheetView workbookViewId="0">
      <selection sqref="A1:XFD1048576"/>
    </sheetView>
  </sheetViews>
  <sheetFormatPr defaultRowHeight="14.4" x14ac:dyDescent="0.3"/>
  <sheetData>
    <row r="1" spans="1:5" x14ac:dyDescent="0.3">
      <c r="A1" t="s">
        <v>0</v>
      </c>
      <c r="B1" t="s">
        <v>2</v>
      </c>
      <c r="C1" t="s">
        <v>1</v>
      </c>
      <c r="D1" t="s">
        <v>3</v>
      </c>
    </row>
    <row r="2" spans="1:5" x14ac:dyDescent="0.3">
      <c r="A2">
        <v>1994</v>
      </c>
      <c r="C2">
        <v>59</v>
      </c>
    </row>
    <row r="3" spans="1:5" x14ac:dyDescent="0.3">
      <c r="A3">
        <v>1995</v>
      </c>
      <c r="B3">
        <f>SQRT(A3-A2)</f>
        <v>1</v>
      </c>
      <c r="C3">
        <v>93</v>
      </c>
      <c r="D3">
        <f>(LN(C3/C2)/B3)</f>
        <v>0.45506204924753652</v>
      </c>
      <c r="E3">
        <f>A19-A2</f>
        <v>31</v>
      </c>
    </row>
    <row r="4" spans="1:5" x14ac:dyDescent="0.3">
      <c r="A4">
        <v>1996</v>
      </c>
      <c r="B4">
        <f t="shared" ref="B4:B19" si="0">SQRT(A4-A3)</f>
        <v>1</v>
      </c>
      <c r="C4">
        <v>94</v>
      </c>
      <c r="D4">
        <f t="shared" ref="D4:D19" si="1">(LN(C4/C3)/B4)</f>
        <v>1.069528911674795E-2</v>
      </c>
      <c r="E4">
        <v>17</v>
      </c>
    </row>
    <row r="5" spans="1:5" x14ac:dyDescent="0.3">
      <c r="A5">
        <v>1997</v>
      </c>
      <c r="B5">
        <f t="shared" si="0"/>
        <v>1</v>
      </c>
      <c r="C5">
        <v>125</v>
      </c>
      <c r="D5">
        <f t="shared" si="1"/>
        <v>0.28501895503229718</v>
      </c>
      <c r="E5" s="1">
        <v>3.6166869999999999E-3</v>
      </c>
    </row>
    <row r="6" spans="1:5" x14ac:dyDescent="0.3">
      <c r="A6">
        <v>1998</v>
      </c>
      <c r="B6">
        <f t="shared" si="0"/>
        <v>1</v>
      </c>
      <c r="C6">
        <v>140</v>
      </c>
      <c r="D6">
        <f t="shared" si="1"/>
        <v>0.11332868530700327</v>
      </c>
    </row>
    <row r="7" spans="1:5" x14ac:dyDescent="0.3">
      <c r="A7">
        <v>2000</v>
      </c>
      <c r="B7">
        <f t="shared" si="0"/>
        <v>1.4142135623730951</v>
      </c>
      <c r="C7">
        <v>229</v>
      </c>
      <c r="D7">
        <f t="shared" si="1"/>
        <v>0.34795280856959837</v>
      </c>
    </row>
    <row r="8" spans="1:5" x14ac:dyDescent="0.3">
      <c r="A8">
        <v>2001</v>
      </c>
      <c r="B8">
        <f t="shared" si="0"/>
        <v>1</v>
      </c>
      <c r="C8">
        <v>255</v>
      </c>
      <c r="D8">
        <f t="shared" si="1"/>
        <v>0.10754154160418654</v>
      </c>
      <c r="E8" s="1">
        <v>0.1386057</v>
      </c>
    </row>
    <row r="9" spans="1:5" x14ac:dyDescent="0.3">
      <c r="A9">
        <v>2002</v>
      </c>
      <c r="B9">
        <f t="shared" si="0"/>
        <v>1</v>
      </c>
      <c r="C9">
        <v>196</v>
      </c>
      <c r="D9">
        <f t="shared" si="1"/>
        <v>-0.26314888592790886</v>
      </c>
    </row>
    <row r="10" spans="1:5" x14ac:dyDescent="0.3">
      <c r="A10">
        <v>2003</v>
      </c>
      <c r="B10">
        <f t="shared" si="0"/>
        <v>1</v>
      </c>
      <c r="C10">
        <v>151</v>
      </c>
      <c r="D10">
        <f t="shared" si="1"/>
        <v>-0.26083482241559286</v>
      </c>
    </row>
    <row r="11" spans="1:5" x14ac:dyDescent="0.3">
      <c r="A11">
        <v>2004</v>
      </c>
      <c r="B11">
        <f t="shared" si="0"/>
        <v>1</v>
      </c>
      <c r="C11">
        <v>127</v>
      </c>
      <c r="D11">
        <f t="shared" si="1"/>
        <v>-0.17309275035633309</v>
      </c>
    </row>
    <row r="12" spans="1:5" x14ac:dyDescent="0.3">
      <c r="A12">
        <v>2005</v>
      </c>
      <c r="B12">
        <f t="shared" si="0"/>
        <v>1</v>
      </c>
      <c r="C12">
        <v>94</v>
      </c>
      <c r="D12">
        <f t="shared" si="1"/>
        <v>-0.30089230418858737</v>
      </c>
      <c r="E12">
        <f>E5+E8/2</f>
        <v>7.2919536999999993E-2</v>
      </c>
    </row>
    <row r="13" spans="1:5" x14ac:dyDescent="0.3">
      <c r="A13">
        <v>2006</v>
      </c>
      <c r="B13">
        <f t="shared" si="0"/>
        <v>1</v>
      </c>
      <c r="C13">
        <v>78</v>
      </c>
      <c r="D13">
        <f t="shared" si="1"/>
        <v>-0.18658595558041219</v>
      </c>
      <c r="E13">
        <f>E12+NORMSINV(0.025)*SQRT(E8*((1/E3)+(E8/(2*(E4-1)))))</f>
        <v>-6.6658417667825862E-2</v>
      </c>
    </row>
    <row r="14" spans="1:5" x14ac:dyDescent="0.3">
      <c r="A14">
        <v>2007</v>
      </c>
      <c r="B14">
        <f t="shared" si="0"/>
        <v>1</v>
      </c>
      <c r="C14">
        <v>53</v>
      </c>
      <c r="D14">
        <f t="shared" si="1"/>
        <v>-0.38641691313746984</v>
      </c>
      <c r="E14">
        <f>E12-NORMSINV(0.025)*SQRT(E8*((1/E3)+(E8/(2*(E4-1)))))</f>
        <v>0.21249749166782583</v>
      </c>
    </row>
    <row r="15" spans="1:5" x14ac:dyDescent="0.3">
      <c r="A15">
        <v>2010</v>
      </c>
      <c r="B15">
        <f t="shared" si="0"/>
        <v>1.7320508075688772</v>
      </c>
      <c r="C15">
        <v>15</v>
      </c>
      <c r="D15">
        <f t="shared" si="1"/>
        <v>-0.72875559246533084</v>
      </c>
      <c r="E15">
        <f>EXP(E12)</f>
        <v>1.0756439838907164</v>
      </c>
    </row>
    <row r="16" spans="1:5" x14ac:dyDescent="0.3">
      <c r="A16">
        <v>2022</v>
      </c>
      <c r="B16">
        <f t="shared" si="0"/>
        <v>3.4641016151377544</v>
      </c>
      <c r="C16">
        <v>19</v>
      </c>
      <c r="D16">
        <f t="shared" si="1"/>
        <v>6.8239562324395042E-2</v>
      </c>
      <c r="E16">
        <f>EXP(E13)</f>
        <v>0.93551470205948162</v>
      </c>
    </row>
    <row r="17" spans="1:5" x14ac:dyDescent="0.3">
      <c r="A17">
        <v>2023</v>
      </c>
      <c r="B17">
        <f t="shared" si="0"/>
        <v>1</v>
      </c>
      <c r="C17">
        <v>33</v>
      </c>
      <c r="D17">
        <f t="shared" si="1"/>
        <v>0.55206858230003986</v>
      </c>
      <c r="E17">
        <f>EXP(E14)</f>
        <v>1.2367630113489407</v>
      </c>
    </row>
    <row r="18" spans="1:5" x14ac:dyDescent="0.3">
      <c r="A18">
        <v>2024</v>
      </c>
      <c r="B18">
        <f t="shared" si="0"/>
        <v>1</v>
      </c>
      <c r="C18">
        <v>67</v>
      </c>
      <c r="D18">
        <f t="shared" si="1"/>
        <v>0.70818505792448583</v>
      </c>
    </row>
    <row r="19" spans="1:5" x14ac:dyDescent="0.3">
      <c r="A19">
        <v>2025</v>
      </c>
      <c r="B19">
        <f t="shared" si="0"/>
        <v>1</v>
      </c>
      <c r="C19">
        <v>66</v>
      </c>
      <c r="D19">
        <f t="shared" si="1"/>
        <v>-1.5037877364540559E-2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AD898-87C3-40C4-82B8-1CD2EE7EB7FB}">
  <dimension ref="A1:F17"/>
  <sheetViews>
    <sheetView workbookViewId="0">
      <selection activeCell="E17" sqref="E17"/>
    </sheetView>
  </sheetViews>
  <sheetFormatPr defaultRowHeight="14.4" x14ac:dyDescent="0.3"/>
  <sheetData>
    <row r="1" spans="1:6" x14ac:dyDescent="0.3">
      <c r="A1" t="s">
        <v>0</v>
      </c>
      <c r="B1" t="s">
        <v>2</v>
      </c>
      <c r="C1" t="s">
        <v>1</v>
      </c>
      <c r="D1" t="s">
        <v>3</v>
      </c>
      <c r="F1" t="s">
        <v>4</v>
      </c>
    </row>
    <row r="2" spans="1:6" x14ac:dyDescent="0.3">
      <c r="A2">
        <v>1997</v>
      </c>
      <c r="C2">
        <v>1757</v>
      </c>
    </row>
    <row r="3" spans="1:6" x14ac:dyDescent="0.3">
      <c r="A3">
        <v>1999</v>
      </c>
      <c r="B3">
        <f>SQRT(A3-A2)</f>
        <v>1.4142135623730951</v>
      </c>
      <c r="C3">
        <v>1358</v>
      </c>
      <c r="D3">
        <f>(LN(C3/C2)/B3)</f>
        <v>-0.18214701578466236</v>
      </c>
      <c r="E3">
        <f>A16-A2</f>
        <v>28</v>
      </c>
      <c r="F3">
        <v>28</v>
      </c>
    </row>
    <row r="4" spans="1:6" x14ac:dyDescent="0.3">
      <c r="A4">
        <v>2001</v>
      </c>
      <c r="B4">
        <f t="shared" ref="B4:B16" si="0">SQRT(A4-A3)</f>
        <v>1.4142135623730951</v>
      </c>
      <c r="C4">
        <v>1228</v>
      </c>
      <c r="D4">
        <f t="shared" ref="D4:D16" si="1">(LN(C4/C3)/B4)</f>
        <v>-7.1153467968939357E-2</v>
      </c>
      <c r="E4">
        <v>14</v>
      </c>
      <c r="F4">
        <v>13</v>
      </c>
    </row>
    <row r="5" spans="1:6" x14ac:dyDescent="0.3">
      <c r="A5">
        <v>2002</v>
      </c>
      <c r="B5">
        <f t="shared" si="0"/>
        <v>1</v>
      </c>
      <c r="C5">
        <v>1500</v>
      </c>
      <c r="D5">
        <f t="shared" si="1"/>
        <v>0.20007827838321374</v>
      </c>
      <c r="E5" s="1">
        <v>-6.1841790000000001E-2</v>
      </c>
      <c r="F5" s="1">
        <v>-9.8694039999999997E-2</v>
      </c>
    </row>
    <row r="6" spans="1:6" x14ac:dyDescent="0.3">
      <c r="A6">
        <v>2003</v>
      </c>
      <c r="B6">
        <f t="shared" si="0"/>
        <v>1</v>
      </c>
      <c r="C6">
        <v>1373</v>
      </c>
      <c r="D6">
        <f t="shared" si="1"/>
        <v>-8.8466981322330385E-2</v>
      </c>
    </row>
    <row r="7" spans="1:6" x14ac:dyDescent="0.3">
      <c r="A7">
        <v>2005</v>
      </c>
      <c r="B7">
        <f t="shared" si="0"/>
        <v>1.4142135623730951</v>
      </c>
      <c r="C7">
        <v>1356</v>
      </c>
      <c r="D7">
        <f t="shared" si="1"/>
        <v>-8.8097990283191249E-3</v>
      </c>
    </row>
    <row r="8" spans="1:6" x14ac:dyDescent="0.3">
      <c r="A8">
        <v>2006</v>
      </c>
      <c r="B8">
        <f t="shared" si="0"/>
        <v>1</v>
      </c>
      <c r="C8">
        <v>1076</v>
      </c>
      <c r="D8">
        <f t="shared" si="1"/>
        <v>-0.23128872777861118</v>
      </c>
      <c r="E8" s="1">
        <v>0.10839219999999999</v>
      </c>
      <c r="F8" s="1">
        <v>3.1865360000000002E-2</v>
      </c>
    </row>
    <row r="9" spans="1:6" x14ac:dyDescent="0.3">
      <c r="A9">
        <v>2010</v>
      </c>
      <c r="B9">
        <f t="shared" si="0"/>
        <v>2</v>
      </c>
      <c r="C9">
        <v>807</v>
      </c>
      <c r="D9">
        <f t="shared" si="1"/>
        <v>-0.14384103622589045</v>
      </c>
    </row>
    <row r="10" spans="1:6" x14ac:dyDescent="0.3">
      <c r="A10">
        <v>2011</v>
      </c>
      <c r="B10">
        <f t="shared" si="0"/>
        <v>1</v>
      </c>
      <c r="C10">
        <v>811</v>
      </c>
      <c r="D10">
        <f t="shared" si="1"/>
        <v>4.9443858454640659E-3</v>
      </c>
    </row>
    <row r="11" spans="1:6" x14ac:dyDescent="0.3">
      <c r="A11">
        <v>2014</v>
      </c>
      <c r="B11">
        <f t="shared" si="0"/>
        <v>1.7320508075688772</v>
      </c>
      <c r="C11">
        <v>784</v>
      </c>
      <c r="D11">
        <f t="shared" si="1"/>
        <v>-1.9548522258726275E-2</v>
      </c>
    </row>
    <row r="12" spans="1:6" x14ac:dyDescent="0.3">
      <c r="A12">
        <v>2021</v>
      </c>
      <c r="B12">
        <f t="shared" si="0"/>
        <v>2.6457513110645907</v>
      </c>
      <c r="C12">
        <v>160</v>
      </c>
      <c r="D12">
        <f t="shared" si="1"/>
        <v>-0.60067444678959969</v>
      </c>
      <c r="E12">
        <f>E5+E8/2</f>
        <v>-7.6456900000000036E-3</v>
      </c>
      <c r="F12">
        <f>F5+F8/2</f>
        <v>-8.2761359999999992E-2</v>
      </c>
    </row>
    <row r="13" spans="1:6" x14ac:dyDescent="0.3">
      <c r="A13">
        <v>2022</v>
      </c>
      <c r="B13">
        <f t="shared" si="0"/>
        <v>1</v>
      </c>
      <c r="C13">
        <v>188</v>
      </c>
      <c r="D13">
        <f t="shared" si="1"/>
        <v>0.16126814759612232</v>
      </c>
      <c r="E13">
        <f>E12+NORMSINV(0.025)*SQRT(E8*((1/E3)+(E8/(2*(E4-1)))))</f>
        <v>-0.13651283128695424</v>
      </c>
      <c r="F13">
        <f>F12+NORMSINV(0.025)*SQRT(F8*((1/F3)+(F8/(2*(F4-1)))))</f>
        <v>-0.15009851638712818</v>
      </c>
    </row>
    <row r="14" spans="1:6" x14ac:dyDescent="0.3">
      <c r="A14">
        <v>2023</v>
      </c>
      <c r="B14">
        <f t="shared" si="0"/>
        <v>1</v>
      </c>
      <c r="C14">
        <v>478</v>
      </c>
      <c r="D14">
        <f t="shared" si="1"/>
        <v>0.93316876966150675</v>
      </c>
      <c r="E14">
        <f>E12-NORMSINV(0.025)*SQRT(E8*((1/E3)+(E8/(2*(E4-1)))))</f>
        <v>0.12122145128695422</v>
      </c>
      <c r="F14">
        <f>F12-NORMSINV(0.025)*SQRT(F8*((1/F3)+(F8/(2*(F4-1)))))</f>
        <v>-1.5424203612871792E-2</v>
      </c>
    </row>
    <row r="15" spans="1:6" x14ac:dyDescent="0.3">
      <c r="A15">
        <v>2024</v>
      </c>
      <c r="B15">
        <f>SQRT(A15-A14)</f>
        <v>1</v>
      </c>
      <c r="C15">
        <v>366</v>
      </c>
      <c r="D15">
        <f>(LN(C15/C14)/B15)</f>
        <v>-0.26697739909008966</v>
      </c>
      <c r="E15">
        <f>EXP(E12)</f>
        <v>0.99238346393981014</v>
      </c>
      <c r="F15">
        <f>EXP(F12)</f>
        <v>0.92057080602654362</v>
      </c>
    </row>
    <row r="16" spans="1:6" x14ac:dyDescent="0.3">
      <c r="A16">
        <v>2025</v>
      </c>
      <c r="B16">
        <f t="shared" si="0"/>
        <v>1</v>
      </c>
      <c r="C16">
        <v>311</v>
      </c>
      <c r="D16">
        <f t="shared" si="1"/>
        <v>-0.16284042122213205</v>
      </c>
      <c r="E16">
        <f>EXP(E13)</f>
        <v>0.87239512623560311</v>
      </c>
      <c r="F16">
        <f>EXP(F13)</f>
        <v>0.86062318676150229</v>
      </c>
    </row>
    <row r="17" spans="5:6" x14ac:dyDescent="0.3">
      <c r="E17">
        <f>EXP(E14)</f>
        <v>1.1288748754829816</v>
      </c>
      <c r="F17">
        <f>EXP(F14)</f>
        <v>0.98469414018147716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220D-F4F7-4C4C-9505-8DE1E74B0D90}">
  <dimension ref="A1:E27"/>
  <sheetViews>
    <sheetView workbookViewId="0">
      <selection activeCell="E13" sqref="E13:E17"/>
    </sheetView>
  </sheetViews>
  <sheetFormatPr defaultRowHeight="14.4" x14ac:dyDescent="0.3"/>
  <sheetData>
    <row r="1" spans="1:5" x14ac:dyDescent="0.3">
      <c r="A1" t="s">
        <v>0</v>
      </c>
      <c r="B1" t="s">
        <v>2</v>
      </c>
      <c r="C1" t="s">
        <v>1</v>
      </c>
      <c r="D1" t="s">
        <v>3</v>
      </c>
    </row>
    <row r="2" spans="1:5" x14ac:dyDescent="0.3">
      <c r="A2">
        <v>1980</v>
      </c>
      <c r="C2">
        <v>107</v>
      </c>
    </row>
    <row r="3" spans="1:5" x14ac:dyDescent="0.3">
      <c r="A3">
        <v>1983</v>
      </c>
      <c r="B3">
        <f>SQRT(A3-A2)</f>
        <v>1.7320508075688772</v>
      </c>
      <c r="C3">
        <v>58</v>
      </c>
      <c r="D3">
        <f>(LN(C3/C2)/B3)</f>
        <v>-0.35356112028551717</v>
      </c>
      <c r="E3">
        <f>A27-A2</f>
        <v>45</v>
      </c>
    </row>
    <row r="4" spans="1:5" x14ac:dyDescent="0.3">
      <c r="A4">
        <v>1985</v>
      </c>
      <c r="B4">
        <f t="shared" ref="B4:B27" si="0">SQRT(A4-A3)</f>
        <v>1.4142135623730951</v>
      </c>
      <c r="C4">
        <v>154</v>
      </c>
      <c r="D4">
        <f t="shared" ref="D4:D27" si="1">(LN(C4/C3)/B4)</f>
        <v>0.69049655430301193</v>
      </c>
      <c r="E4">
        <v>25</v>
      </c>
    </row>
    <row r="5" spans="1:5" x14ac:dyDescent="0.3">
      <c r="A5">
        <v>1986</v>
      </c>
      <c r="B5">
        <f t="shared" si="0"/>
        <v>1</v>
      </c>
      <c r="C5">
        <v>149</v>
      </c>
      <c r="D5">
        <f t="shared" si="1"/>
        <v>-3.3006296468169972E-2</v>
      </c>
      <c r="E5" s="1">
        <v>-1.8759720000000001E-2</v>
      </c>
    </row>
    <row r="6" spans="1:5" x14ac:dyDescent="0.3">
      <c r="A6">
        <v>1988</v>
      </c>
      <c r="B6">
        <f t="shared" si="0"/>
        <v>1.4142135623730951</v>
      </c>
      <c r="C6">
        <v>176</v>
      </c>
      <c r="D6">
        <f t="shared" si="1"/>
        <v>0.11775992928057993</v>
      </c>
    </row>
    <row r="7" spans="1:5" x14ac:dyDescent="0.3">
      <c r="A7">
        <v>1989</v>
      </c>
      <c r="B7">
        <f t="shared" si="0"/>
        <v>1</v>
      </c>
      <c r="C7">
        <v>162</v>
      </c>
      <c r="D7">
        <f t="shared" si="1"/>
        <v>-8.2887659805767747E-2</v>
      </c>
    </row>
    <row r="8" spans="1:5" x14ac:dyDescent="0.3">
      <c r="A8">
        <v>1993</v>
      </c>
      <c r="B8">
        <f t="shared" si="0"/>
        <v>2</v>
      </c>
      <c r="C8">
        <v>188</v>
      </c>
      <c r="D8">
        <f t="shared" si="1"/>
        <v>7.4422813798782586E-2</v>
      </c>
      <c r="E8" s="1">
        <v>0.1204263</v>
      </c>
    </row>
    <row r="9" spans="1:5" x14ac:dyDescent="0.3">
      <c r="A9">
        <v>1994</v>
      </c>
      <c r="B9">
        <f t="shared" si="0"/>
        <v>1</v>
      </c>
      <c r="C9">
        <v>152</v>
      </c>
      <c r="D9">
        <f t="shared" si="1"/>
        <v>-0.21256144198367288</v>
      </c>
    </row>
    <row r="10" spans="1:5" x14ac:dyDescent="0.3">
      <c r="A10">
        <v>1996</v>
      </c>
      <c r="B10">
        <f t="shared" si="0"/>
        <v>1.4142135623730951</v>
      </c>
      <c r="C10">
        <v>279</v>
      </c>
      <c r="D10">
        <f t="shared" si="1"/>
        <v>0.42944805306206241</v>
      </c>
    </row>
    <row r="11" spans="1:5" x14ac:dyDescent="0.3">
      <c r="A11">
        <v>2000</v>
      </c>
      <c r="B11">
        <f t="shared" si="0"/>
        <v>2</v>
      </c>
      <c r="C11">
        <v>73</v>
      </c>
      <c r="D11">
        <f t="shared" si="1"/>
        <v>-0.67037617033648722</v>
      </c>
    </row>
    <row r="12" spans="1:5" x14ac:dyDescent="0.3">
      <c r="A12">
        <v>2001</v>
      </c>
      <c r="B12">
        <f t="shared" si="0"/>
        <v>1</v>
      </c>
      <c r="C12">
        <v>163</v>
      </c>
      <c r="D12">
        <f t="shared" si="1"/>
        <v>0.80329075965837127</v>
      </c>
      <c r="E12">
        <f>E5+E8/2</f>
        <v>4.1453429999999999E-2</v>
      </c>
    </row>
    <row r="13" spans="1:5" x14ac:dyDescent="0.3">
      <c r="A13">
        <v>2002</v>
      </c>
      <c r="B13">
        <f t="shared" si="0"/>
        <v>1</v>
      </c>
      <c r="C13">
        <v>130</v>
      </c>
      <c r="D13">
        <f t="shared" si="1"/>
        <v>-0.22621575035117997</v>
      </c>
      <c r="E13">
        <f>E12+NORMSINV(0.025)*SQRT(E8*((1/E3)+(E8/(2*(E4-1)))))</f>
        <v>-6.5508815059438286E-2</v>
      </c>
    </row>
    <row r="14" spans="1:5" x14ac:dyDescent="0.3">
      <c r="A14">
        <v>2003</v>
      </c>
      <c r="B14">
        <f t="shared" si="0"/>
        <v>1</v>
      </c>
      <c r="C14">
        <v>104</v>
      </c>
      <c r="D14">
        <f t="shared" si="1"/>
        <v>-0.22314355131420971</v>
      </c>
      <c r="E14">
        <f>E12-NORMSINV(0.025)*SQRT(E8*((1/E3)+(E8/(2*(E4-1)))))</f>
        <v>0.14841567505943828</v>
      </c>
    </row>
    <row r="15" spans="1:5" x14ac:dyDescent="0.3">
      <c r="A15">
        <v>2004</v>
      </c>
      <c r="B15">
        <f t="shared" si="0"/>
        <v>1</v>
      </c>
      <c r="C15">
        <v>96</v>
      </c>
      <c r="D15">
        <f t="shared" si="1"/>
        <v>-8.004270767353637E-2</v>
      </c>
      <c r="E15">
        <f>EXP(E12)</f>
        <v>1.0423246196636395</v>
      </c>
    </row>
    <row r="16" spans="1:5" x14ac:dyDescent="0.3">
      <c r="A16">
        <v>2005</v>
      </c>
      <c r="B16">
        <f t="shared" si="0"/>
        <v>1</v>
      </c>
      <c r="C16">
        <v>119</v>
      </c>
      <c r="D16">
        <f t="shared" si="1"/>
        <v>0.2147753016436931</v>
      </c>
      <c r="E16">
        <f>EXP(E13)</f>
        <v>0.93659079061975004</v>
      </c>
    </row>
    <row r="17" spans="1:5" x14ac:dyDescent="0.3">
      <c r="A17">
        <v>2010</v>
      </c>
      <c r="B17">
        <f t="shared" si="0"/>
        <v>2.2360679774997898</v>
      </c>
      <c r="C17">
        <v>113</v>
      </c>
      <c r="D17">
        <f t="shared" si="1"/>
        <v>-2.3136896963676379E-2</v>
      </c>
      <c r="E17">
        <f>EXP(E14)</f>
        <v>1.1599949771426261</v>
      </c>
    </row>
    <row r="18" spans="1:5" x14ac:dyDescent="0.3">
      <c r="A18">
        <v>2012</v>
      </c>
      <c r="B18">
        <f t="shared" si="0"/>
        <v>1.4142135623730951</v>
      </c>
      <c r="C18">
        <v>90</v>
      </c>
      <c r="D18">
        <f t="shared" si="1"/>
        <v>-0.16092205197084389</v>
      </c>
    </row>
    <row r="19" spans="1:5" x14ac:dyDescent="0.3">
      <c r="A19">
        <v>2013</v>
      </c>
      <c r="B19">
        <f t="shared" si="0"/>
        <v>1</v>
      </c>
      <c r="C19">
        <v>57</v>
      </c>
      <c r="D19">
        <f t="shared" si="1"/>
        <v>-0.45675840249571498</v>
      </c>
    </row>
    <row r="20" spans="1:5" x14ac:dyDescent="0.3">
      <c r="A20">
        <v>2014</v>
      </c>
      <c r="B20">
        <f t="shared" si="0"/>
        <v>1</v>
      </c>
      <c r="C20">
        <v>38</v>
      </c>
      <c r="D20">
        <f t="shared" si="1"/>
        <v>-0.40546510810816444</v>
      </c>
    </row>
    <row r="21" spans="1:5" x14ac:dyDescent="0.3">
      <c r="A21">
        <v>2015</v>
      </c>
      <c r="B21">
        <f t="shared" si="0"/>
        <v>1</v>
      </c>
      <c r="C21">
        <v>56</v>
      </c>
      <c r="D21">
        <f t="shared" si="1"/>
        <v>0.38776553100876343</v>
      </c>
    </row>
    <row r="22" spans="1:5" x14ac:dyDescent="0.3">
      <c r="A22">
        <v>2020</v>
      </c>
      <c r="B22">
        <f t="shared" si="0"/>
        <v>2.2360679774997898</v>
      </c>
      <c r="C22">
        <v>39</v>
      </c>
      <c r="D22">
        <f t="shared" si="1"/>
        <v>-0.16179742666411709</v>
      </c>
    </row>
    <row r="23" spans="1:5" x14ac:dyDescent="0.3">
      <c r="A23">
        <v>2021</v>
      </c>
      <c r="B23">
        <f t="shared" si="0"/>
        <v>1</v>
      </c>
      <c r="C23">
        <v>42</v>
      </c>
      <c r="D23">
        <f t="shared" si="1"/>
        <v>7.4107972153721835E-2</v>
      </c>
    </row>
    <row r="24" spans="1:5" x14ac:dyDescent="0.3">
      <c r="A24">
        <v>2022</v>
      </c>
      <c r="B24">
        <f t="shared" si="0"/>
        <v>1</v>
      </c>
      <c r="C24">
        <v>51</v>
      </c>
      <c r="D24">
        <f t="shared" si="1"/>
        <v>0.1941560144409574</v>
      </c>
    </row>
    <row r="25" spans="1:5" x14ac:dyDescent="0.3">
      <c r="A25">
        <v>2023</v>
      </c>
      <c r="B25">
        <f t="shared" si="0"/>
        <v>1</v>
      </c>
      <c r="C25">
        <v>53</v>
      </c>
      <c r="D25">
        <f t="shared" si="1"/>
        <v>3.8466280827796143E-2</v>
      </c>
    </row>
    <row r="26" spans="1:5" x14ac:dyDescent="0.3">
      <c r="A26">
        <v>2024</v>
      </c>
      <c r="B26">
        <f t="shared" si="0"/>
        <v>1</v>
      </c>
      <c r="C26">
        <v>66</v>
      </c>
      <c r="D26">
        <f t="shared" si="1"/>
        <v>0.21936282847430366</v>
      </c>
    </row>
    <row r="27" spans="1:5" x14ac:dyDescent="0.3">
      <c r="A27">
        <v>2025</v>
      </c>
      <c r="B27">
        <f t="shared" si="0"/>
        <v>1</v>
      </c>
      <c r="C27">
        <v>46</v>
      </c>
      <c r="D27">
        <f t="shared" si="1"/>
        <v>-0.3610133455373305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43F31-6213-4CE2-9EFE-054126BD8F93}">
  <dimension ref="A1:E17"/>
  <sheetViews>
    <sheetView tabSelected="1" workbookViewId="0">
      <selection activeCell="E18" sqref="E18"/>
    </sheetView>
  </sheetViews>
  <sheetFormatPr defaultRowHeight="14.4" x14ac:dyDescent="0.3"/>
  <sheetData>
    <row r="1" spans="1:5" x14ac:dyDescent="0.3">
      <c r="A1" t="s">
        <v>0</v>
      </c>
      <c r="B1" t="s">
        <v>2</v>
      </c>
      <c r="C1" t="s">
        <v>1</v>
      </c>
      <c r="D1" t="s">
        <v>3</v>
      </c>
    </row>
    <row r="2" spans="1:5" x14ac:dyDescent="0.3">
      <c r="A2">
        <v>1994</v>
      </c>
      <c r="C2">
        <v>31</v>
      </c>
    </row>
    <row r="3" spans="1:5" x14ac:dyDescent="0.3">
      <c r="A3">
        <v>1995</v>
      </c>
      <c r="B3">
        <f>SQRT(A3-A2)</f>
        <v>1</v>
      </c>
      <c r="C3">
        <v>61</v>
      </c>
      <c r="D3">
        <f>(LN(C3/C2)/B3)</f>
        <v>0.67688665968816497</v>
      </c>
      <c r="E3">
        <f>A17-A2</f>
        <v>30</v>
      </c>
    </row>
    <row r="4" spans="1:5" x14ac:dyDescent="0.3">
      <c r="A4">
        <v>1996</v>
      </c>
      <c r="B4">
        <f t="shared" ref="B4:B17" si="0">SQRT(A4-A3)</f>
        <v>1</v>
      </c>
      <c r="C4">
        <v>108</v>
      </c>
      <c r="D4">
        <f t="shared" ref="D4:D17" si="1">(LN(C4/C3)/B4)</f>
        <v>0.57125736295090845</v>
      </c>
      <c r="E4">
        <v>15</v>
      </c>
    </row>
    <row r="5" spans="1:5" x14ac:dyDescent="0.3">
      <c r="A5">
        <v>1997</v>
      </c>
      <c r="B5">
        <f t="shared" si="0"/>
        <v>1</v>
      </c>
      <c r="C5">
        <v>133</v>
      </c>
      <c r="D5">
        <f t="shared" si="1"/>
        <v>0.20821790109753399</v>
      </c>
      <c r="E5" s="1">
        <v>-9.1361330000000004E-2</v>
      </c>
    </row>
    <row r="6" spans="1:5" x14ac:dyDescent="0.3">
      <c r="A6">
        <v>1998</v>
      </c>
      <c r="B6">
        <f t="shared" si="0"/>
        <v>1</v>
      </c>
      <c r="C6">
        <v>198</v>
      </c>
      <c r="D6">
        <f t="shared" si="1"/>
        <v>0.39791790247278147</v>
      </c>
    </row>
    <row r="7" spans="1:5" x14ac:dyDescent="0.3">
      <c r="A7">
        <v>1999</v>
      </c>
      <c r="B7">
        <f t="shared" si="0"/>
        <v>1</v>
      </c>
      <c r="C7">
        <v>98</v>
      </c>
      <c r="D7">
        <f t="shared" si="1"/>
        <v>-0.70329955202396321</v>
      </c>
    </row>
    <row r="8" spans="1:5" x14ac:dyDescent="0.3">
      <c r="A8">
        <v>2001</v>
      </c>
      <c r="B8">
        <f t="shared" si="0"/>
        <v>1.4142135623730951</v>
      </c>
      <c r="C8">
        <v>51</v>
      </c>
      <c r="D8">
        <f t="shared" si="1"/>
        <v>-0.46184102834528995</v>
      </c>
      <c r="E8" s="1">
        <v>0.3130559</v>
      </c>
    </row>
    <row r="9" spans="1:5" x14ac:dyDescent="0.3">
      <c r="A9">
        <v>2002</v>
      </c>
      <c r="B9">
        <f t="shared" si="0"/>
        <v>1</v>
      </c>
      <c r="C9">
        <v>48</v>
      </c>
      <c r="D9">
        <f t="shared" si="1"/>
        <v>-6.0624621816434854E-2</v>
      </c>
    </row>
    <row r="10" spans="1:5" x14ac:dyDescent="0.3">
      <c r="A10">
        <v>2003</v>
      </c>
      <c r="B10">
        <f t="shared" si="0"/>
        <v>1</v>
      </c>
      <c r="C10">
        <v>16</v>
      </c>
      <c r="D10">
        <f t="shared" si="1"/>
        <v>-1.0986122886681098</v>
      </c>
    </row>
    <row r="11" spans="1:5" x14ac:dyDescent="0.3">
      <c r="A11">
        <v>2004</v>
      </c>
      <c r="B11">
        <f t="shared" si="0"/>
        <v>1</v>
      </c>
      <c r="C11">
        <v>20</v>
      </c>
      <c r="D11">
        <f t="shared" si="1"/>
        <v>0.22314355131420976</v>
      </c>
    </row>
    <row r="12" spans="1:5" x14ac:dyDescent="0.3">
      <c r="A12">
        <v>2005</v>
      </c>
      <c r="B12">
        <f t="shared" si="0"/>
        <v>1</v>
      </c>
      <c r="C12">
        <v>35</v>
      </c>
      <c r="D12">
        <f t="shared" si="1"/>
        <v>0.55961578793542266</v>
      </c>
      <c r="E12">
        <f>E5+E8/2</f>
        <v>6.5166619999999995E-2</v>
      </c>
    </row>
    <row r="13" spans="1:5" x14ac:dyDescent="0.3">
      <c r="A13">
        <v>2006</v>
      </c>
      <c r="B13">
        <f t="shared" si="0"/>
        <v>1</v>
      </c>
      <c r="C13">
        <v>37</v>
      </c>
      <c r="D13">
        <f t="shared" si="1"/>
        <v>5.5569851154810786E-2</v>
      </c>
      <c r="E13">
        <f>E12+NORMSINV(0.025)*SQRT(E8*((1/E3)+(E8/(2*(E4-1)))))</f>
        <v>-0.16620328395539136</v>
      </c>
    </row>
    <row r="14" spans="1:5" x14ac:dyDescent="0.3">
      <c r="A14">
        <v>2007</v>
      </c>
      <c r="B14">
        <f t="shared" si="0"/>
        <v>1</v>
      </c>
      <c r="C14">
        <v>44</v>
      </c>
      <c r="D14">
        <f t="shared" si="1"/>
        <v>0.17327172127403678</v>
      </c>
      <c r="E14">
        <f>E12-NORMSINV(0.025)*SQRT(E8*((1/E3)+(E8/(2*(E4-1)))))</f>
        <v>0.29653652395539132</v>
      </c>
    </row>
    <row r="15" spans="1:5" x14ac:dyDescent="0.3">
      <c r="A15">
        <v>2010</v>
      </c>
      <c r="B15">
        <f t="shared" si="0"/>
        <v>1.7320508075688772</v>
      </c>
      <c r="C15">
        <v>94</v>
      </c>
      <c r="D15">
        <f t="shared" si="1"/>
        <v>0.43826956174410947</v>
      </c>
      <c r="E15">
        <f>EXP(E12)</f>
        <v>1.0673368492350124</v>
      </c>
    </row>
    <row r="16" spans="1:5" x14ac:dyDescent="0.3">
      <c r="A16">
        <v>2023</v>
      </c>
      <c r="B16">
        <f t="shared" si="0"/>
        <v>3.6055512754639891</v>
      </c>
      <c r="C16">
        <v>2</v>
      </c>
      <c r="D16">
        <f t="shared" si="1"/>
        <v>-1.0678388150823324</v>
      </c>
      <c r="E16">
        <f>EXP(E13)</f>
        <v>0.8468740607811529</v>
      </c>
    </row>
    <row r="17" spans="1:5" x14ac:dyDescent="0.3">
      <c r="A17">
        <v>2024</v>
      </c>
      <c r="B17">
        <f t="shared" si="0"/>
        <v>1</v>
      </c>
      <c r="C17">
        <v>2</v>
      </c>
      <c r="D17">
        <f t="shared" si="1"/>
        <v>0</v>
      </c>
      <c r="E17">
        <f>EXP(E14)</f>
        <v>1.3451916908213286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ARHI</vt:lpstr>
      <vt:lpstr>COCA</vt:lpstr>
      <vt:lpstr>CYRE</vt:lpstr>
      <vt:lpstr>SPLU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Worthy</dc:creator>
  <cp:lastModifiedBy>Samantha Worthy</cp:lastModifiedBy>
  <dcterms:created xsi:type="dcterms:W3CDTF">2026-08-20T12:47:47Z</dcterms:created>
  <dcterms:modified xsi:type="dcterms:W3CDTF">2026-08-20T13:38:32Z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